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78af90488a433b" /></Relationships>
</file>

<file path=xl/workbook.xml><?xml version="1.0" encoding="utf-8"?>
<x:workbook xmlns:x="http://schemas.openxmlformats.org/spreadsheetml/2006/main">
  <x:sheets>
    <x:sheet xmlns:r="http://schemas.openxmlformats.org/officeDocument/2006/relationships" name="总览" sheetId="1" r:id="Rcd91d85230684040"/>
    <x:sheet xmlns:r="http://schemas.openxmlformats.org/officeDocument/2006/relationships" name="订单映射" sheetId="2" r:id="R18f7fca32fef494c"/>
    <x:sheet xmlns:r="http://schemas.openxmlformats.org/officeDocument/2006/relationships" name="跟踪清单" sheetId="3" r:id="R7d5cd68a64814e07"/>
    <x:sheet xmlns:r="http://schemas.openxmlformats.org/officeDocument/2006/relationships" name="证据说明" sheetId="4" r:id="Rd42fdab917b443f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Red](#,##0.00);-"/>
    <x:numFmt numFmtId="201" formatCode="0"/>
    <x:numFmt numFmtId="202" formatCode="yyyy-mm-dd"/>
  </x:numFmts>
  <x:fonts count="5">
    <x:font>
      <x:sz val="11"/>
      <x:name val="Carlito"/>
    </x:font>
    <x:font>
      <x:b/>
      <x:sz val="16"/>
      <x:color rgb="FFFFFFFF"/>
      <x:name val="Carlito"/>
    </x:font>
    <x:font>
      <x:i/>
      <x:sz val="11"/>
      <x:color rgb="FF1F1F1F"/>
      <x:name val="Carlito"/>
    </x:font>
    <x:font>
      <x:b/>
      <x:sz val="11"/>
      <x:color rgb="FFFFFFFF"/>
      <x:name val="Carlito"/>
    </x:font>
    <x:font>
      <x:b/>
      <x:sz val="15"/>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AF2F8"/>
      </x:patternFill>
    </x:fill>
    <x:fill>
      <x:patternFill patternType="solid">
        <x:fgColor rgb="FFF3F6F9"/>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200" fontId="4" fillId="5" borderId="0" xfId="0" applyNumberFormat="1" applyFont="1" applyFill="1" applyBorder="1" applyAlignment="1">
      <x:alignment horizontal="center" vertical="center"/>
    </x:xf>
    <x:xf numFmtId="200" fontId="4" fillId="5" borderId="1" xfId="0" applyNumberFormat="1" applyFont="1" applyFill="1" applyBorder="1" applyAlignment="1">
      <x:alignment horizontal="center" vertical="center"/>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cellXfs>
  <x:cellStyles count="1">
    <x:cellStyle name="Normal" xfId="0"/>
  </x:cellStyles>
  <x:dxfs count="2">
    <x:dxf>
      <x:font>
        <x:b/>
        <x:color rgb="FF006100"/>
      </x:font>
      <x:fill>
        <x:patternFill patternType="solid">
          <x:bgColor rgb="FFC6EFCE"/>
        </x:patternFill>
      </x:fill>
    </x:dxf>
    <x:dxf>
      <x:font>
        <x:b/>
        <x:color rgb="FF9C0006"/>
      </x:font>
      <x:fill>
        <x:patternFill patternType="solid">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b92ec4bc634c9e" /><Relationship Type="http://schemas.openxmlformats.org/officeDocument/2006/relationships/theme" Target="/xl/theme/theme1.xml" Id="R13fe959a4e604920" /><Relationship Type="http://schemas.openxmlformats.org/officeDocument/2006/relationships/sharedStrings" Target="/xl/sharedStrings.xml" Id="R1258b47f4f6e4aac" /><Relationship Type="http://schemas.openxmlformats.org/officeDocument/2006/relationships/worksheet" Target="/xl/worksheets/sheet1.xml" Id="Rcd91d85230684040" /><Relationship Type="http://schemas.openxmlformats.org/officeDocument/2006/relationships/worksheet" Target="/xl/worksheets/sheet2.xml" Id="R18f7fca32fef494c" /><Relationship Type="http://schemas.openxmlformats.org/officeDocument/2006/relationships/worksheet" Target="/xl/worksheets/sheet3.xml" Id="R7d5cd68a64814e07" /><Relationship Type="http://schemas.openxmlformats.org/officeDocument/2006/relationships/worksheet" Target="/xl/worksheets/sheet4.xml" Id="Rd42fdab917b443fd" /></Relationships>
</file>

<file path=xl/drawings/_rels/drawing1.xml.rels>&#65279;<?xml version="1.0" encoding="utf-8"?><Relationships xmlns="http://schemas.openxmlformats.org/package/2006/relationships"><Relationship Type="http://schemas.openxmlformats.org/officeDocument/2006/relationships/chart" Target="/xl/drawings/charts/chart1.xml" Id="R8c2ffd46141c42f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公开证据等级分布</a:t>
            </a:r>
          </a:p>
        </c:rich>
      </c:tx>
      <c:overlay val="0"/>
    </c:title>
    <c:autoTitleDeleted val="0"/>
    <c:plotArea>
      <c:layout/>
      <c:barChart>
        <c:barDir val="col"/>
        <c:varyColors val="0"/>
        <c:ser>
          <c:idx val="0"/>
          <c:order val="0"/>
          <c:tx>
            <c:v>主体数量</c:v>
          </c:tx>
          <c:cat>
            <c:strRef>
              <c:f>'总览'!$A$8:$A$11</c:f>
              <c:strCache>
                <c:ptCount val="0"/>
              </c:strCache>
            </c:strRef>
          </c:cat>
          <c:val>
            <c:numRef>
              <c:f>'总览'!$B$8:$B$11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6</xdr:row>
      <xdr:rowOff>0</xdr:rowOff>
    </xdr:from>
    <xdr:to>
      <xdr:col>8</xdr:col>
      <xdr:colOff>0</xdr:colOff>
      <xdr:row>13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2ffd46141c42f1"/>
        </a:graphicData>
      </a:graphic>
    </xdr:graphicFrame>
    <xdr:clientData/>
  </xdr:twoCellAnchor>
</xdr:wsDr>
</file>

<file path=xl/tables/table1.xml><?xml version="1.0" encoding="utf-8"?>
<x:table xmlns:x="http://schemas.openxmlformats.org/spreadsheetml/2006/main" id="1" name="OrderMappingTable" displayName="OrderMappingTable" ref="A3:O13" headerRowCount="1">
  <x:tableColumns count="15">
    <x:tableColumn id="1" name="产业链环节"/>
    <x:tableColumn id="2" name="公司／单位"/>
    <x:tableColumn id="3" name="股票代码"/>
    <x:tableColumn id="4" name="上市属性"/>
    <x:tableColumn id="5" name="直接客户／星座"/>
    <x:tableColumn id="6" name="承载产品／任务"/>
    <x:tableColumn id="7" name="订单或任务证据"/>
    <x:tableColumn id="8" name="披露订单金额（万元）"/>
    <x:tableColumn id="9" name="业绩／交付印证"/>
    <x:tableColumn id="10" name="证据等级"/>
    <x:tableColumn id="11" name="确定性评分（1-5）"/>
    <x:tableColumn id="12" name="业绩弹性判断"/>
    <x:tableColumn id="13" name="关键风险"/>
    <x:tableColumn id="14" name="最近披露日期"/>
    <x:tableColumn id="15" name="来源URL"/>
  </x:tableColumns>
  <x:tableStyleInfo name="TableStyleMedium2" showRowStripes="1"/>
</x:table>
</file>

<file path=xl/tables/table2.xml><?xml version="1.0" encoding="utf-8"?>
<x:table xmlns:x="http://schemas.openxmlformats.org/spreadsheetml/2006/main" id="2" name="TrackingTable" displayName="TrackingTable" ref="A1:K11" headerRowCount="1">
  <x:tableColumns count="11">
    <x:tableColumn id="1" name="公司／单位"/>
    <x:tableColumn id="2" name="重点环节"/>
    <x:tableColumn id="3" name="新增订单／中标"/>
    <x:tableColumn id="4" name="交付数量／批次"/>
    <x:tableColumn id="5" name="在手订单变化"/>
    <x:tableColumn id="6" name="收入确认"/>
    <x:tableColumn id="7" name="毛利率变化"/>
    <x:tableColumn id="8" name="应收账款／回款"/>
    <x:tableColumn id="9" name="下次关注日期"/>
    <x:tableColumn id="10" name="跟踪状态"/>
    <x:tableColumn id="11" name="备注"/>
  </x:tableColumns>
  <x:tableStyleInfo name="TableStyleMedium2" showRowStripes="1"/>
</x:table>
</file>

<file path=xl/tables/table3.xml><?xml version="1.0" encoding="utf-8"?>
<x:table xmlns:x="http://schemas.openxmlformats.org/spreadsheetml/2006/main" id="3" name="EvidenceGuideTable" displayName="EvidenceGuideTable" ref="A3:F7" headerRowCount="1">
  <x:tableColumns count="6">
    <x:tableColumn id="1" name="等级"/>
    <x:tableColumn id="2" name="判定标准"/>
    <x:tableColumn id="3" name="可否确认真实订单"/>
    <x:tableColumn id="4" name="可否确认金额"/>
    <x:tableColumn id="5" name="投资分析用途"/>
    <x:tableColumn id="6" name="主要限制"/>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a3198e1ce68485e" /></Relationships>
</file>

<file path=xl/worksheets/_rels/sheet2.xml.rels>&#65279;<?xml version="1.0" encoding="utf-8"?><Relationships xmlns="http://schemas.openxmlformats.org/package/2006/relationships"><Relationship Type="http://schemas.openxmlformats.org/officeDocument/2006/relationships/table" Target="/xl/tables/table1.xml" Id="R583333d920874ca2" /></Relationships>
</file>

<file path=xl/worksheets/_rels/sheet3.xml.rels>&#65279;<?xml version="1.0" encoding="utf-8"?><Relationships xmlns="http://schemas.openxmlformats.org/package/2006/relationships"><Relationship Type="http://schemas.openxmlformats.org/officeDocument/2006/relationships/table" Target="/xl/tables/table2.xml" Id="R5fab17f76bd545ed" /></Relationships>
</file>

<file path=xl/worksheets/_rels/sheet4.xml.rels>&#65279;<?xml version="1.0" encoding="utf-8"?><Relationships xmlns="http://schemas.openxmlformats.org/package/2006/relationships"><Relationship Type="http://schemas.openxmlformats.org/officeDocument/2006/relationships/table" Target="/xl/tables/table3.xml" Id="Rc45505a2bb944db7" /></Relationships>
</file>

<file path=xl/worksheets/sheet1.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14" hidden="0" customWidth="1"/>
    <x:col min="5" max="5" width="25" hidden="0" customWidth="1"/>
    <x:col min="6" max="6" width="14" hidden="0" customWidth="1"/>
    <x:col min="7" max="7" width="20" hidden="0" customWidth="1"/>
    <x:col min="8" max="8" width="14" hidden="0" customWidth="1"/>
  </x:cols>
  <x:sheetData>
    <x:row r="1" ht="30" customHeight="1">
      <x:c r="A1" s="5" t="str">
        <x:v>卫星互联网订单映射总览</x:v>
      </x:c>
      <x:c r="B1" s="5"/>
      <x:c r="C1" s="5"/>
      <x:c r="D1" s="5"/>
      <x:c r="E1" s="5"/>
      <x:c r="F1" s="5"/>
      <x:c r="G1" s="5"/>
      <x:c r="H1" s="5"/>
    </x:row>
    <x:row r="3" ht="28" customHeight="1">
      <x:c r="A3" s="22" t="str">
        <x:v>公司／单位数</x:v>
      </x:c>
      <x:c r="B3" s="22" t="str"/>
      <x:c r="C3" s="22" t="str">
        <x:v>A股公司数</x:v>
      </x:c>
      <x:c r="D3" s="22" t="str"/>
      <x:c r="E3" s="22" t="str">
        <x:v>已披露订单金额（万元）</x:v>
      </x:c>
      <x:c r="F3" s="22" t="str"/>
      <x:c r="G3" s="22" t="str">
        <x:v>评分≥4的主体数</x:v>
      </x:c>
      <x:c r="H3" s="22" t="str"/>
    </x:row>
    <x:row r="4" ht="28" customHeight="1">
      <x:c r="A4" s="41" t="n">
        <x:f>COUNTA('订单映射'!B4:B13)</x:f>
        <x:v>10</x:v>
      </x:c>
      <x:c r="B4" s="41"/>
      <x:c r="C4" s="41" t="n">
        <x:f>COUNTIF('订单映射'!D4:D13,"A股")</x:f>
        <x:v>5</x:v>
      </x:c>
      <x:c r="D4" s="41"/>
      <x:c r="E4" s="46" t="n">
        <x:f>SUM('订单映射'!H4:H13)</x:f>
        <x:v>11344.376</x:v>
      </x:c>
      <x:c r="F4" s="41"/>
      <x:c r="G4" s="41" t="n">
        <x:f>COUNTIF('订单映射'!K4:K13,"&gt;=4")</x:f>
        <x:v>9</x:v>
      </x:c>
      <x:c r="H4" s="41"/>
    </x:row>
    <x:row r="7">
      <x:c r="A7" s="22" t="str">
        <x:v>证据等级</x:v>
      </x:c>
      <x:c r="B7" s="22" t="str">
        <x:v>主体数量</x:v>
      </x:c>
    </x:row>
    <x:row r="8">
      <x:c r="A8" t="str">
        <x:v>A1</x:v>
      </x:c>
      <x:c r="B8" t="n">
        <x:f>COUNTIF('订单映射'!J4:J13,A8)</x:f>
        <x:v>1</x:v>
      </x:c>
    </x:row>
    <x:row r="9">
      <x:c r="A9" t="str">
        <x:v>A2</x:v>
      </x:c>
      <x:c r="B9" t="n">
        <x:f>COUNTIF('订单映射'!J5:J14,A9)</x:f>
        <x:v>5</x:v>
      </x:c>
    </x:row>
    <x:row r="10">
      <x:c r="A10" t="str">
        <x:v>B1</x:v>
      </x:c>
      <x:c r="B10" t="n">
        <x:f>COUNTIF('订单映射'!J6:J15,A10)</x:f>
        <x:v>2</x:v>
      </x:c>
    </x:row>
    <x:row r="11">
      <x:c r="A11" t="str">
        <x:v>B2</x:v>
      </x:c>
      <x:c r="B11" t="n">
        <x:f>COUNTIF('订单映射'!J7:J16,A11)</x:f>
        <x:v>1</x:v>
      </x:c>
    </x:row>
    <x:row r="14">
      <x:c r="A14" s="22" t="str">
        <x:v>当前最值得优先跟踪的订单承载主体</x:v>
      </x:c>
      <x:c r="B14" s="22"/>
      <x:c r="C14" s="22"/>
      <x:c r="D14" s="22"/>
      <x:c r="E14" s="22"/>
      <x:c r="F14" s="22"/>
      <x:c r="G14" s="22"/>
      <x:c r="H14" s="22"/>
    </x:row>
    <x:row r="15" ht="30" customHeight="1">
      <x:c r="A15" s="50" t="str">
        <x:v>1）上海瀚讯：目前A股中客户、订单金额和产品最清晰，2025年两笔千帆相关订单合计11,344.38万元。
2）电科蓝天：GW参与比例82%，千帆宇航电源系统独家配套，订单金额豁免披露，数量增长传导最直接。
3）中国卫星：订单交付已推动收入增长，但公司未拆分卫星互联网合同金额，且商业航天产品毛利率偏低。
4）铖昌科技：低轨卫星通信T/R芯片已批量交付，客户和订单金额仍保密。
5）整星、整箭与发射服务的核心价值，主要由格思航天、五院、一院、八院和长城公司等未上市主体承载。</x:v>
      </x:c>
      <x:c r="B15" s="50"/>
      <x:c r="C15" s="50"/>
      <x:c r="D15" s="50"/>
      <x:c r="E15" s="50"/>
      <x:c r="F15" s="50"/>
      <x:c r="G15" s="50"/>
      <x:c r="H15" s="50"/>
    </x:row>
    <x:row r="16" ht="30" customHeight="1">
      <x:c r="A16" s="50"/>
      <x:c r="B16" s="50"/>
      <x:c r="C16" s="50"/>
      <x:c r="D16" s="50"/>
      <x:c r="E16" s="50"/>
      <x:c r="F16" s="50"/>
      <x:c r="G16" s="50"/>
      <x:c r="H16" s="50"/>
    </x:row>
    <x:row r="17" ht="30" customHeight="1">
      <x:c r="A17" s="50"/>
      <x:c r="B17" s="50"/>
      <x:c r="C17" s="50"/>
      <x:c r="D17" s="50"/>
      <x:c r="E17" s="50"/>
      <x:c r="F17" s="50"/>
      <x:c r="G17" s="50"/>
      <x:c r="H17" s="50"/>
    </x:row>
    <x:row r="18" ht="30" customHeight="1">
      <x:c r="A18" s="50"/>
      <x:c r="B18" s="50"/>
      <x:c r="C18" s="50"/>
      <x:c r="D18" s="50"/>
      <x:c r="E18" s="50"/>
      <x:c r="F18" s="50"/>
      <x:c r="G18" s="50"/>
      <x:c r="H18" s="50"/>
    </x:row>
  </x:sheetData>
  <x:mergeCells>
    <x:mergeCell ref="A1:H1"/>
    <x:mergeCell ref="A14:H14"/>
    <x:mergeCell ref="A15:H18"/>
  </x:mergeCells>
  <x:pageMargins left="0.7" right="0.7" top="0.75" bottom="0.75" header="0.3" footer="0.3"/>
  <x:drawing xmlns:r="http://schemas.openxmlformats.org/officeDocument/2006/relationships" r:id="Rca3198e1ce68485e"/>
</x:worksheet>
</file>

<file path=xl/worksheets/sheet2.xml><?xml version="1.0" encoding="utf-8"?>
<x:worksheet xmlns:x="http://schemas.openxmlformats.org/spreadsheetml/2006/main">
  <x:sheetFormatPr defaultRowHeight="15"/>
  <x:cols>
    <x:col min="1" max="1" width="19" hidden="0" customWidth="1"/>
    <x:col min="2" max="2" width="28" hidden="0" customWidth="1"/>
    <x:col min="3" max="3" width="12" hidden="0" customWidth="1"/>
    <x:col min="4" max="4" width="11" hidden="0" customWidth="1"/>
    <x:col min="5" max="5" width="24" hidden="0" customWidth="1"/>
    <x:col min="6" max="6" width="34" hidden="0" customWidth="1"/>
    <x:col min="7" max="7" width="48" hidden="0" customWidth="1"/>
    <x:col min="8" max="8" width="18" hidden="0" customWidth="1"/>
    <x:col min="9" max="9" width="43" hidden="0" customWidth="1"/>
    <x:col min="10" max="10" width="10" hidden="0" customWidth="1"/>
    <x:col min="11" max="11" width="16" hidden="0" customWidth="1"/>
    <x:col min="12" max="12" width="36" hidden="0" customWidth="1"/>
    <x:col min="13" max="13" width="38" hidden="0" customWidth="1"/>
    <x:col min="14" max="14" width="14" hidden="0" customWidth="1"/>
    <x:col min="15" max="15" width="42" hidden="0" customWidth="1"/>
  </x:cols>
  <x:sheetData>
    <x:row r="1" ht="30" customHeight="1">
      <x:c r="A1" s="5" t="str">
        <x:v>低轨卫星互联网订单承载公司映射表</x:v>
      </x:c>
      <x:c r="B1" s="5"/>
      <x:c r="C1" s="5"/>
      <x:c r="D1" s="5"/>
      <x:c r="E1" s="5"/>
      <x:c r="F1" s="5"/>
      <x:c r="G1" s="5"/>
      <x:c r="H1" s="5"/>
      <x:c r="I1" s="5"/>
      <x:c r="J1" s="5"/>
      <x:c r="K1" s="5"/>
      <x:c r="L1" s="5"/>
      <x:c r="M1" s="5"/>
      <x:c r="N1" s="5"/>
      <x:c r="O1" s="5"/>
    </x:row>
    <x:row r="2" ht="38" customHeight="1">
      <x:c r="A2" s="13" t="str">
        <x:v>数据截至2026-07-16。仅纳入存在年报、交易所文件、政府或央企官方任务披露的公司／单位；订单金额为空代表未披露或依法豁免披露。</x:v>
      </x:c>
      <x:c r="B2" s="13"/>
      <x:c r="C2" s="13"/>
      <x:c r="D2" s="13"/>
      <x:c r="E2" s="13"/>
      <x:c r="F2" s="13"/>
      <x:c r="G2" s="13"/>
      <x:c r="H2" s="13"/>
      <x:c r="I2" s="13"/>
      <x:c r="J2" s="13"/>
      <x:c r="K2" s="13"/>
      <x:c r="L2" s="13"/>
      <x:c r="M2" s="13"/>
      <x:c r="N2" s="13"/>
      <x:c r="O2" s="13"/>
    </x:row>
    <x:row r="3" ht="42" customHeight="1">
      <x:c r="A3" s="22" t="str">
        <x:v>产业链环节</x:v>
      </x:c>
      <x:c r="B3" s="22" t="str">
        <x:v>公司／单位</x:v>
      </x:c>
      <x:c r="C3" s="22" t="str">
        <x:v>股票代码</x:v>
      </x:c>
      <x:c r="D3" s="22" t="str">
        <x:v>上市属性</x:v>
      </x:c>
      <x:c r="E3" s="22" t="str">
        <x:v>直接客户／星座</x:v>
      </x:c>
      <x:c r="F3" s="22" t="str">
        <x:v>承载产品／任务</x:v>
      </x:c>
      <x:c r="G3" s="22" t="str">
        <x:v>订单或任务证据</x:v>
      </x:c>
      <x:c r="H3" s="22" t="str">
        <x:v>披露订单金额（万元）</x:v>
      </x:c>
      <x:c r="I3" s="22" t="str">
        <x:v>业绩／交付印证</x:v>
      </x:c>
      <x:c r="J3" s="22" t="str">
        <x:v>证据等级</x:v>
      </x:c>
      <x:c r="K3" s="22" t="str">
        <x:v>确定性评分（1-5）</x:v>
      </x:c>
      <x:c r="L3" s="22" t="str">
        <x:v>业绩弹性判断</x:v>
      </x:c>
      <x:c r="M3" s="22" t="str">
        <x:v>关键风险</x:v>
      </x:c>
      <x:c r="N3" s="22" t="str">
        <x:v>最近披露日期</x:v>
      </x:c>
      <x:c r="O3" s="22" t="str">
        <x:v>来源URL</x:v>
      </x:c>
    </x:row>
    <x:row r="4" ht="74" customHeight="1">
      <x:c r="A4" s="30" t="str">
        <x:v>卫星总体与批量制造</x:v>
      </x:c>
      <x:c r="B4" s="30" t="str">
        <x:v>上海格思航天科技有限公司</x:v>
      </x:c>
      <x:c r="C4" s="30" t="str"/>
      <x:c r="D4" s="30" t="str">
        <x:v>未上市</x:v>
      </x:c>
      <x:c r="E4" s="30" t="str">
        <x:v>上海垣信／千帆星座</x:v>
      </x:c>
      <x:c r="F4" s="30" t="str">
        <x:v>低轨通信卫星整星批产、总装集成测试（AIT）</x:v>
      </x:c>
      <x:c r="G4" s="30" t="str">
        <x:v>上海官方披露其已建成脉动式卫星生产线，实现约1—1.5天量产1颗卫星；与垣信卫星共同作为产业链主。</x:v>
      </x:c>
      <x:c r="H4" s="32"/>
      <x:c r="I4" s="30" t="str">
        <x:v>截至2025年底，千帆星座累计完成108颗卫星发射。</x:v>
      </x:c>
      <x:c r="J4" s="30" t="str">
        <x:v>A2</x:v>
      </x:c>
      <x:c r="K4" s="34" t="n">
        <x:v>5</x:v>
      </x:c>
      <x:c r="L4" s="30" t="str">
        <x:v>高：卫星交付数量直接随组网颗数增长；当前主要价值落在未上市主体。</x:v>
      </x:c>
      <x:c r="M4" s="30" t="str">
        <x:v>单星持续降价、客户集中、生产良率与验收节奏；无法直接在A股承接整星价值。</x:v>
      </x:c>
      <x:c r="N4" s="36" t="n">
        <x:v>46055</x:v>
      </x:c>
      <x:c r="O4" s="30" t="str">
        <x:v>https://sheitc.sh.gov.cn/dsxxjyzl/20260202/89b339ac654440f58d7066a28129bd42.html</x:v>
      </x:c>
    </x:row>
    <x:row r="5" ht="74" customHeight="1">
      <x:c r="A5" s="30" t="str">
        <x:v>卫星总体与批量制造</x:v>
      </x:c>
      <x:c r="B5" s="30" t="str">
        <x:v>中国航天科技集团五院</x:v>
      </x:c>
      <x:c r="C5" s="30" t="str"/>
      <x:c r="D5" s="30" t="str">
        <x:v>未上市</x:v>
      </x:c>
      <x:c r="E5" s="30" t="str">
        <x:v>中国星网／GW星座</x:v>
      </x:c>
      <x:c r="F5" s="30" t="str">
        <x:v>低轨卫星总体抓总、批量研制</x:v>
      </x:c>
      <x:c r="G5" s="30" t="str">
        <x:v>五院通信与导航卫星总体部完成其承担的首批卫星互联网低轨卫星任务；低轨22组卫星亦由五院抓总研制。</x:v>
      </x:c>
      <x:c r="H5" s="32"/>
      <x:c r="I5" s="30" t="str">
        <x:v>由项目制研制向“星星工厂”和批量交付转变。</x:v>
      </x:c>
      <x:c r="J5" s="30" t="str">
        <x:v>A2</x:v>
      </x:c>
      <x:c r="K5" s="34" t="n">
        <x:v>5</x:v>
      </x:c>
      <x:c r="L5" s="30" t="str">
        <x:v>高：直接承载GW整星任务；相关价值主要留在院所体系。</x:v>
      </x:c>
      <x:c r="M5" s="30" t="str">
        <x:v>合同金额未披露；集团院所订单无法等比例映射至中国卫星等上市平台。</x:v>
      </x:c>
      <x:c r="N5" s="36" t="n">
        <x:v>46190</x:v>
      </x:c>
      <x:c r="O5" s="30" t="str">
        <x:v>https://www.spacechina.com/n25/n2014789/n2414549/c4634719/content.html</x:v>
      </x:c>
    </x:row>
    <x:row r="6" ht="74" customHeight="1">
      <x:c r="A6" s="30" t="str">
        <x:v>卫星总体、部组件与地面系统</x:v>
      </x:c>
      <x:c r="B6" s="30" t="str">
        <x:v>中国东方红卫星股份有限公司</x:v>
      </x:c>
      <x:c r="C6" s="30" t="str">
        <x:v>600118</x:v>
      </x:c>
      <x:c r="D6" s="30" t="str">
        <x:v>A股</x:v>
      </x:c>
      <x:c r="E6" s="30" t="str">
        <x:v>客户及具体星座金额未拆分</x:v>
      </x:c>
      <x:c r="F6" s="30" t="str">
        <x:v>小微卫星平台、宇航部组件、星上电子通信设备、太阳电池片、地面系统集成</x:v>
      </x:c>
      <x:c r="G6" s="30" t="str">
        <x:v>年报明确披露积极参与卫星互联网星座建设的产品配套，宇航部组件和地面系统订单交付量增加。</x:v>
      </x:c>
      <x:c r="H6" s="32"/>
      <x:c r="I6" s="30" t="str">
        <x:v>2025年营业收入610,294.49万元，同比增长18.35%；商业航天产品交付增量较多，但毛利率相对较低。</x:v>
      </x:c>
      <x:c r="J6" s="30" t="str">
        <x:v>B1</x:v>
      </x:c>
      <x:c r="K6" s="34" t="n">
        <x:v>4</x:v>
      </x:c>
      <x:c r="L6" s="30" t="str">
        <x:v>中高：订单交付已进入报表，但卫星互联网收入未单独拆分。</x:v>
      </x:c>
      <x:c r="M6" s="30" t="str">
        <x:v>星座合同金额不透明；商业航天产品降价可能导致收入增长快于利润增长。</x:v>
      </x:c>
      <x:c r="N6" s="36" t="n">
        <x:v>46112</x:v>
      </x:c>
      <x:c r="O6" s="30" t="str">
        <x:v>https://static.cninfo.com.cn/finalpage/2026-03-31/1225054766.PDF</x:v>
      </x:c>
    </x:row>
    <x:row r="7" ht="74" customHeight="1">
      <x:c r="A7" s="30" t="str">
        <x:v>通信载荷与地面通信设备</x:v>
      </x:c>
      <x:c r="B7" s="30" t="str">
        <x:v>上海瀚讯信息技术股份有限公司</x:v>
      </x:c>
      <x:c r="C7" s="30" t="str">
        <x:v>300762</x:v>
      </x:c>
      <x:c r="D7" s="30" t="str">
        <x:v>A股</x:v>
      </x:c>
      <x:c r="E7" s="30" t="str">
        <x:v>上海格思航天、上海垣信／千帆星座</x:v>
      </x:c>
      <x:c r="F7" s="30" t="str">
        <x:v>星载通信载荷、地基基站、测试终端、信关站及卫星通信终端</x:v>
      </x:c>
      <x:c r="G7" s="30" t="str">
        <x:v>2025年年报披露两笔实名招标订单：格思航天8,129.376万元、上海垣信3,215.00万元。</x:v>
      </x:c>
      <x:c r="H7" s="32" t="n">
        <x:v>11344.376</x:v>
      </x:c>
      <x:c r="I7" s="30" t="str">
        <x:v>两笔订单合计占2025年营业收入22.58%；宽带移动通信设备收入46,188.87万元，毛利率32.07%。</x:v>
      </x:c>
      <x:c r="J7" s="30" t="str">
        <x:v>A1</x:v>
      </x:c>
      <x:c r="K7" s="34" t="n">
        <x:v>5</x:v>
      </x:c>
      <x:c r="L7" s="30" t="str">
        <x:v>高：客户、金额、产品均可识别，是A股中订单映射最清晰的公司之一。</x:v>
      </x:c>
      <x:c r="M7" s="30" t="str">
        <x:v>客户集中度高；订单验收和发射节奏影响收入确认；2025年毛利率较上年下降。</x:v>
      </x:c>
      <x:c r="N7" s="36" t="n">
        <x:v>46140</x:v>
      </x:c>
      <x:c r="O7" s="30" t="str">
        <x:v>https://static.cninfo.com.cn/finalpage/2026-04-28/1225205348.PDF</x:v>
      </x:c>
    </x:row>
    <x:row r="8" ht="74" customHeight="1">
      <x:c r="A8" s="30" t="str">
        <x:v>卫星电源系统</x:v>
      </x:c>
      <x:c r="B8" s="30" t="str">
        <x:v>中电科蓝天科技股份有限公司</x:v>
      </x:c>
      <x:c r="C8" s="30" t="str">
        <x:v>688818</x:v>
      </x:c>
      <x:c r="D8" s="30" t="str">
        <x:v>A股</x:v>
      </x:c>
      <x:c r="E8" s="30" t="str">
        <x:v>GW星座、千帆星座及商业航天总体单位</x:v>
      </x:c>
      <x:c r="F8" s="30" t="str">
        <x:v>太阳电池阵、蓄电池、电源控制器及完整宇航电源分系统</x:v>
      </x:c>
      <x:c r="G8" s="30" t="str">
        <x:v>审核问询回复披露：GW已发布研制计划参与比例82%；千帆星座宇航电源系统独家配套；在手订单金额豁免披露。</x:v>
      </x:c>
      <x:c r="H8" s="32"/>
      <x:c r="I8" s="30" t="str">
        <x:v>商业航天宇航电源收入由2022年5,175.47万元增至2024年51,304.14万元；2025年上半年毛利率已转正。</x:v>
      </x:c>
      <x:c r="J8" s="30" t="str">
        <x:v>A2</x:v>
      </x:c>
      <x:c r="K8" s="34" t="n">
        <x:v>5</x:v>
      </x:c>
      <x:c r="L8" s="30" t="str">
        <x:v>高：星座绑定度与配套份额较高，卫星数量增长可直接传导至电源系统交付。</x:v>
      </x:c>
      <x:c r="M8" s="30" t="str">
        <x:v>商业航天产品售价低、前期规模效应不足；应收账款回款周期较长。</x:v>
      </x:c>
      <x:c r="N8" s="36" t="n">
        <x:v>45986</x:v>
      </x:c>
      <x:c r="O8" s="30" t="str">
        <x:v>https://static.sse.com.cn/stock/disclosure/announcement/c/202511/002096_20251125_CZL7.pdf</x:v>
      </x:c>
    </x:row>
    <x:row r="9" ht="74" customHeight="1">
      <x:c r="A9" s="30" t="str">
        <x:v>相控阵射频芯片</x:v>
      </x:c>
      <x:c r="B9" s="30" t="str">
        <x:v>浙江铖昌科技股份有限公司</x:v>
      </x:c>
      <x:c r="C9" s="30" t="str">
        <x:v>001270</x:v>
      </x:c>
      <x:c r="D9" s="30" t="str">
        <x:v>A股</x:v>
      </x:c>
      <x:c r="E9" s="30" t="str">
        <x:v>产业下游客户名称保密</x:v>
      </x:c>
      <x:c r="F9" s="30" t="str">
        <x:v>星载及地面卫星通信T/R芯片、多通道多波束幅相多功能芯片</x:v>
      </x:c>
      <x:c r="G9" s="30" t="str">
        <x:v>2025年年报披露低轨卫星通信相关产品依据客户需求备货并按计划批量交付。</x:v>
      </x:c>
      <x:c r="H9" s="32"/>
      <x:c r="I9" s="30" t="str">
        <x:v>2025年公司营业收入40,462.30万元，同比增长91.28%；低轨卫星互联网贡献未单独拆分。</x:v>
      </x:c>
      <x:c r="J9" s="30" t="str">
        <x:v>B1</x:v>
      </x:c>
      <x:c r="K9" s="34" t="n">
        <x:v>4</x:v>
      </x:c>
      <x:c r="L9" s="30" t="str">
        <x:v>中高：产品已进入批量交付，但客户、星座和合同金额未公开。</x:v>
      </x:c>
      <x:c r="M9" s="30" t="str">
        <x:v>收入来源混合，难以拆分卫星互联网弹性；客户保密、价格变化及回款风险需持续跟踪。</x:v>
      </x:c>
      <x:c r="N9" s="36" t="n">
        <x:v>46129</x:v>
      </x:c>
      <x:c r="O9" s="30" t="str">
        <x:v>https://disc.static.szse.cn/download/disc/disk03/finalpage/2026-04-17/4f97c490-eb69-4161-b773-88ffa70e8b99.PDF</x:v>
      </x:c>
    </x:row>
    <x:row r="10" ht="74" customHeight="1">
      <x:c r="A10" s="30" t="str">
        <x:v>星载天线、结构件与地面测控</x:v>
      </x:c>
      <x:c r="B10" s="30" t="str">
        <x:v>湖南航天环宇通信科技股份有限公司</x:v>
      </x:c>
      <x:c r="C10" s="30" t="str">
        <x:v>688523</x:v>
      </x:c>
      <x:c r="D10" s="30" t="str">
        <x:v>A股</x:v>
      </x:c>
      <x:c r="E10" s="30" t="str">
        <x:v>中国电科、中国电子、航天科技、航天科工等</x:v>
      </x:c>
      <x:c r="F10" s="30" t="str">
        <x:v>星载微波天线、微波器件、星体结构、热控、太阳翼、低轨测控与馈电天线</x:v>
      </x:c>
      <x:c r="G10" s="30" t="str">
        <x:v>2025年年报披露已完成商业低轨卫星互联网测控与馈电天线等产品任务。</x:v>
      </x:c>
      <x:c r="H10" s="32"/>
      <x:c r="I10" s="30" t="str">
        <x:v>具备星上部件与地面测控设备双重覆盖，但未披露特定星座客户及订单金额。</x:v>
      </x:c>
      <x:c r="J10" s="30" t="str">
        <x:v>B2</x:v>
      </x:c>
      <x:c r="K10" s="34" t="n">
        <x:v>3</x:v>
      </x:c>
      <x:c r="L10" s="30" t="str">
        <x:v>中：具备真实交付，订单与低轨星座的财务映射仍不充分。</x:v>
      </x:c>
      <x:c r="M10" s="30" t="str">
        <x:v>业务口径较宽；星座收入占比、客户及项目金额未公开。</x:v>
      </x:c>
      <x:c r="N10" s="36" t="n">
        <x:v>46137</x:v>
      </x:c>
      <x:c r="O10" s="30" t="str">
        <x:v>https://big5.sse.com.cn/site/cht/www.sse.com.cn/disclosure/listedinfo/announcement/c/new/2026-04-25/688523_20260425_6AVS.pdf</x:v>
      </x:c>
    </x:row>
    <x:row r="11" ht="74" customHeight="1">
      <x:c r="A11" s="30" t="str">
        <x:v>运载火箭总体与发射</x:v>
      </x:c>
      <x:c r="B11" s="30" t="str">
        <x:v>中国运载火箭技术研究院（航天科技一院）</x:v>
      </x:c>
      <x:c r="C11" s="30" t="str"/>
      <x:c r="D11" s="30" t="str">
        <x:v>未上市</x:v>
      </x:c>
      <x:c r="E11" s="30" t="str">
        <x:v>GW星座、千帆星座</x:v>
      </x:c>
      <x:c r="F11" s="30" t="str">
        <x:v>长征八号、长征八号甲运载火箭总体研制</x:v>
      </x:c>
      <x:c r="G11" s="30" t="str">
        <x:v>卫星互联网低轨18组由长八甲执行；千帆星座第9批由长八执行，均由一院抓总研制。</x:v>
      </x:c>
      <x:c r="H11" s="32"/>
      <x:c r="I11" s="30" t="str">
        <x:v>长八系列进入高密度发射模式，发射测试流程持续压缩。</x:v>
      </x:c>
      <x:c r="J11" s="30" t="str">
        <x:v>A2</x:v>
      </x:c>
      <x:c r="K11" s="34" t="n">
        <x:v>5</x:v>
      </x:c>
      <x:c r="L11" s="30" t="str">
        <x:v>高：整箭任务明确；当前缺少直接上市公司承载整箭订单。</x:v>
      </x:c>
      <x:c r="M11" s="30" t="str">
        <x:v>发射计划波动、运力和发射场资源约束、单次任务风险；上市映射弱。</x:v>
      </x:c>
      <x:c r="N11" s="36" t="n">
        <x:v>46160</x:v>
      </x:c>
      <x:c r="O11" s="30" t="str">
        <x:v>https://m.spacechina.com/n2018089/n2018131/c4612511/content.html</x:v>
      </x:c>
    </x:row>
    <x:row r="12" ht="74" customHeight="1">
      <x:c r="A12" s="30" t="str">
        <x:v>运载火箭总体与发射</x:v>
      </x:c>
      <x:c r="B12" s="30" t="str">
        <x:v>上海航天技术研究院（航天科技八院）</x:v>
      </x:c>
      <x:c r="C12" s="30" t="str"/>
      <x:c r="D12" s="30" t="str">
        <x:v>未上市</x:v>
      </x:c>
      <x:c r="E12" s="30" t="str">
        <x:v>GW星座、千帆星座</x:v>
      </x:c>
      <x:c r="F12" s="30" t="str">
        <x:v>长征十二号、长征六号改等运载火箭总体研制</x:v>
      </x:c>
      <x:c r="G12" s="30" t="str">
        <x:v>卫星互联网低轨22组由长征十二号执行；千帆极轨13组由长征六号改执行，火箭均由八院抓总研制。</x:v>
      </x:c>
      <x:c r="H12" s="32"/>
      <x:c r="I12" s="30" t="str">
        <x:v>新批次火箭与高密度发射任务直接拉动整箭、发动机、结构和测发设备交付。</x:v>
      </x:c>
      <x:c r="J12" s="30" t="str">
        <x:v>A2</x:v>
      </x:c>
      <x:c r="K12" s="34" t="n">
        <x:v>5</x:v>
      </x:c>
      <x:c r="L12" s="30" t="str">
        <x:v>高：任务明确；整箭收入主要留在未上市院所。</x:v>
      </x:c>
      <x:c r="M12" s="30" t="str">
        <x:v>订单金额未披露；发射频率、单箭多星能力和成本下降共同影响收入弹性。</x:v>
      </x:c>
      <x:c r="N12" s="36" t="n">
        <x:v>46209</x:v>
      </x:c>
      <x:c r="O12" s="30" t="str">
        <x:v>https://www.spacechina.com/n25/n2018089/n2018151/c4644337/content.html</x:v>
      </x:c>
    </x:row>
    <x:row r="13" ht="74" customHeight="1">
      <x:c r="A13" s="30" t="str">
        <x:v>商业发射服务</x:v>
      </x:c>
      <x:c r="B13" s="30" t="str">
        <x:v>中国长城工业集团有限公司</x:v>
      </x:c>
      <x:c r="C13" s="30" t="str"/>
      <x:c r="D13" s="30" t="str">
        <x:v>未上市</x:v>
      </x:c>
      <x:c r="E13" s="30" t="str">
        <x:v>千帆星座</x:v>
      </x:c>
      <x:c r="F13" s="30" t="str">
        <x:v>商业发射总承包、星箭计划协调、任务组织与发射服务</x:v>
      </x:c>
      <x:c r="G13" s="30" t="str">
        <x:v>千帆星座第7批、第11批及极轨13组等任务均由长城公司作为总承包商提供发射服务。</x:v>
      </x:c>
      <x:c r="H13" s="32"/>
      <x:c r="I13" s="30" t="str">
        <x:v>随着千帆高频发射，发射服务合同数量和任务密度同步增加。</x:v>
      </x:c>
      <x:c r="J13" s="30" t="str">
        <x:v>A2</x:v>
      </x:c>
      <x:c r="K13" s="34" t="n">
        <x:v>5</x:v>
      </x:c>
      <x:c r="L13" s="30" t="str">
        <x:v>高：总承包身份清晰；价值目前无法通过A股直接承接。</x:v>
      </x:c>
      <x:c r="M13" s="30" t="str">
        <x:v>发射节奏、火箭供应和发射场产能约束；公司未上市。</x:v>
      </x:c>
      <x:c r="N13" s="36" t="n">
        <x:v>46209</x:v>
      </x:c>
      <x:c r="O13" s="30" t="str">
        <x:v>https://www.spacechina.com/n25/n2018089/n2018151/c4644337/content.html</x:v>
      </x:c>
    </x:row>
  </x:sheetData>
  <x:mergeCells>
    <x:mergeCell ref="A1:O1"/>
    <x:mergeCell ref="A2:O2"/>
  </x:mergeCells>
  <x:conditionalFormatting sqref="K4:K13">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583333d920874ca2"/>
  </x:tableParts>
</x:worksheet>
</file>

<file path=xl/worksheets/sheet3.xml><?xml version="1.0" encoding="utf-8"?>
<x:worksheet xmlns:x="http://schemas.openxmlformats.org/spreadsheetml/2006/main">
  <x:sheetFormatPr defaultRowHeight="15"/>
  <x:cols>
    <x:col min="1" max="1" width="29" hidden="0" customWidth="1"/>
    <x:col min="2" max="2" width="23" hidden="0" customWidth="1"/>
    <x:col min="3" max="3" width="22" hidden="0" customWidth="1"/>
    <x:col min="4" max="4" width="20" hidden="0" customWidth="1"/>
    <x:col min="5" max="5" width="18" hidden="0" customWidth="1"/>
    <x:col min="6" max="6" width="18" hidden="0" customWidth="1"/>
    <x:col min="7" max="7" width="17" hidden="0" customWidth="1"/>
    <x:col min="8" max="8" width="20" hidden="0" customWidth="1"/>
    <x:col min="9" max="9" width="15" hidden="0" customWidth="1"/>
    <x:col min="10" max="10" width="13" hidden="0" customWidth="1"/>
    <x:col min="11" max="11" width="30" hidden="0" customWidth="1"/>
  </x:cols>
  <x:sheetData>
    <x:row r="1" ht="36" customHeight="1">
      <x:c r="A1" s="22" t="str">
        <x:v>公司／单位</x:v>
      </x:c>
      <x:c r="B1" s="22" t="str">
        <x:v>重点环节</x:v>
      </x:c>
      <x:c r="C1" s="22" t="str">
        <x:v>新增订单／中标</x:v>
      </x:c>
      <x:c r="D1" s="22" t="str">
        <x:v>交付数量／批次</x:v>
      </x:c>
      <x:c r="E1" s="22" t="str">
        <x:v>在手订单变化</x:v>
      </x:c>
      <x:c r="F1" s="22" t="str">
        <x:v>收入确认</x:v>
      </x:c>
      <x:c r="G1" s="22" t="str">
        <x:v>毛利率变化</x:v>
      </x:c>
      <x:c r="H1" s="22" t="str">
        <x:v>应收账款／回款</x:v>
      </x:c>
      <x:c r="I1" s="22" t="str">
        <x:v>下次关注日期</x:v>
      </x:c>
      <x:c r="J1" s="22" t="str">
        <x:v>跟踪状态</x:v>
      </x:c>
      <x:c r="K1" s="22" t="str">
        <x:v>备注</x:v>
      </x:c>
    </x:row>
    <x:row r="2" ht="38" customHeight="1">
      <x:c r="A2" s="28" t="str">
        <x:v>上海格思航天科技有限公司</x:v>
      </x:c>
      <x:c r="B2" s="28" t="str">
        <x:v>卫星总体与批量制造</x:v>
      </x:c>
      <x:c r="C2" s="28" t="str"/>
      <x:c r="D2" s="28" t="str"/>
      <x:c r="E2" s="28" t="str"/>
      <x:c r="F2" s="28" t="str"/>
      <x:c r="G2" s="28" t="str"/>
      <x:c r="H2" s="28" t="str"/>
      <x:c r="I2" s="56"/>
      <x:c r="J2" s="28" t="str">
        <x:v>待更新</x:v>
      </x:c>
      <x:c r="K2" s="28" t="str"/>
    </x:row>
    <x:row r="3" ht="38" customHeight="1">
      <x:c r="A3" s="28" t="str">
        <x:v>中国航天科技集团五院</x:v>
      </x:c>
      <x:c r="B3" s="28" t="str">
        <x:v>卫星总体与批量制造</x:v>
      </x:c>
      <x:c r="C3" s="28" t="str"/>
      <x:c r="D3" s="28" t="str"/>
      <x:c r="E3" s="28" t="str"/>
      <x:c r="F3" s="28" t="str"/>
      <x:c r="G3" s="28" t="str"/>
      <x:c r="H3" s="28" t="str"/>
      <x:c r="I3" s="56"/>
      <x:c r="J3" s="28" t="str">
        <x:v>待更新</x:v>
      </x:c>
      <x:c r="K3" s="28" t="str"/>
    </x:row>
    <x:row r="4" ht="38" customHeight="1">
      <x:c r="A4" s="28" t="str">
        <x:v>中国东方红卫星股份有限公司</x:v>
      </x:c>
      <x:c r="B4" s="28" t="str">
        <x:v>卫星总体、部组件与地面系统</x:v>
      </x:c>
      <x:c r="C4" s="28" t="str"/>
      <x:c r="D4" s="28" t="str"/>
      <x:c r="E4" s="28" t="str"/>
      <x:c r="F4" s="28" t="str"/>
      <x:c r="G4" s="28" t="str"/>
      <x:c r="H4" s="28" t="str"/>
      <x:c r="I4" s="56"/>
      <x:c r="J4" s="28" t="str">
        <x:v>待更新</x:v>
      </x:c>
      <x:c r="K4" s="28" t="str"/>
    </x:row>
    <x:row r="5" ht="38" customHeight="1">
      <x:c r="A5" s="28" t="str">
        <x:v>上海瀚讯信息技术股份有限公司</x:v>
      </x:c>
      <x:c r="B5" s="28" t="str">
        <x:v>通信载荷与地面通信设备</x:v>
      </x:c>
      <x:c r="C5" s="28" t="str"/>
      <x:c r="D5" s="28" t="str"/>
      <x:c r="E5" s="28" t="str"/>
      <x:c r="F5" s="28" t="str"/>
      <x:c r="G5" s="28" t="str"/>
      <x:c r="H5" s="28" t="str"/>
      <x:c r="I5" s="56"/>
      <x:c r="J5" s="28" t="str">
        <x:v>待更新</x:v>
      </x:c>
      <x:c r="K5" s="28" t="str"/>
    </x:row>
    <x:row r="6" ht="38" customHeight="1">
      <x:c r="A6" s="28" t="str">
        <x:v>中电科蓝天科技股份有限公司</x:v>
      </x:c>
      <x:c r="B6" s="28" t="str">
        <x:v>卫星电源系统</x:v>
      </x:c>
      <x:c r="C6" s="28" t="str"/>
      <x:c r="D6" s="28" t="str"/>
      <x:c r="E6" s="28" t="str"/>
      <x:c r="F6" s="28" t="str"/>
      <x:c r="G6" s="28" t="str"/>
      <x:c r="H6" s="28" t="str"/>
      <x:c r="I6" s="56"/>
      <x:c r="J6" s="28" t="str">
        <x:v>待更新</x:v>
      </x:c>
      <x:c r="K6" s="28" t="str"/>
    </x:row>
    <x:row r="7" ht="38" customHeight="1">
      <x:c r="A7" s="28" t="str">
        <x:v>浙江铖昌科技股份有限公司</x:v>
      </x:c>
      <x:c r="B7" s="28" t="str">
        <x:v>相控阵射频芯片</x:v>
      </x:c>
      <x:c r="C7" s="28" t="str"/>
      <x:c r="D7" s="28" t="str"/>
      <x:c r="E7" s="28" t="str"/>
      <x:c r="F7" s="28" t="str"/>
      <x:c r="G7" s="28" t="str"/>
      <x:c r="H7" s="28" t="str"/>
      <x:c r="I7" s="56"/>
      <x:c r="J7" s="28" t="str">
        <x:v>待更新</x:v>
      </x:c>
      <x:c r="K7" s="28" t="str"/>
    </x:row>
    <x:row r="8" ht="38" customHeight="1">
      <x:c r="A8" s="28" t="str">
        <x:v>湖南航天环宇通信科技股份有限公司</x:v>
      </x:c>
      <x:c r="B8" s="28" t="str">
        <x:v>星载天线、结构件与地面测控</x:v>
      </x:c>
      <x:c r="C8" s="28" t="str"/>
      <x:c r="D8" s="28" t="str"/>
      <x:c r="E8" s="28" t="str"/>
      <x:c r="F8" s="28" t="str"/>
      <x:c r="G8" s="28" t="str"/>
      <x:c r="H8" s="28" t="str"/>
      <x:c r="I8" s="56"/>
      <x:c r="J8" s="28" t="str">
        <x:v>待更新</x:v>
      </x:c>
      <x:c r="K8" s="28" t="str"/>
    </x:row>
    <x:row r="9" ht="38" customHeight="1">
      <x:c r="A9" s="28" t="str">
        <x:v>中国运载火箭技术研究院（航天科技一院）</x:v>
      </x:c>
      <x:c r="B9" s="28" t="str">
        <x:v>运载火箭总体与发射</x:v>
      </x:c>
      <x:c r="C9" s="28" t="str"/>
      <x:c r="D9" s="28" t="str"/>
      <x:c r="E9" s="28" t="str"/>
      <x:c r="F9" s="28" t="str"/>
      <x:c r="G9" s="28" t="str"/>
      <x:c r="H9" s="28" t="str"/>
      <x:c r="I9" s="56"/>
      <x:c r="J9" s="28" t="str">
        <x:v>待更新</x:v>
      </x:c>
      <x:c r="K9" s="28" t="str"/>
    </x:row>
    <x:row r="10" ht="38" customHeight="1">
      <x:c r="A10" s="28" t="str">
        <x:v>上海航天技术研究院（航天科技八院）</x:v>
      </x:c>
      <x:c r="B10" s="28" t="str">
        <x:v>运载火箭总体与发射</x:v>
      </x:c>
      <x:c r="C10" s="28" t="str"/>
      <x:c r="D10" s="28" t="str"/>
      <x:c r="E10" s="28" t="str"/>
      <x:c r="F10" s="28" t="str"/>
      <x:c r="G10" s="28" t="str"/>
      <x:c r="H10" s="28" t="str"/>
      <x:c r="I10" s="56"/>
      <x:c r="J10" s="28" t="str">
        <x:v>待更新</x:v>
      </x:c>
      <x:c r="K10" s="28" t="str"/>
    </x:row>
    <x:row r="11" ht="38" customHeight="1">
      <x:c r="A11" s="28" t="str">
        <x:v>中国长城工业集团有限公司</x:v>
      </x:c>
      <x:c r="B11" s="28" t="str">
        <x:v>商业发射服务</x:v>
      </x:c>
      <x:c r="C11" s="28" t="str"/>
      <x:c r="D11" s="28" t="str"/>
      <x:c r="E11" s="28" t="str"/>
      <x:c r="F11" s="28" t="str"/>
      <x:c r="G11" s="28" t="str"/>
      <x:c r="H11" s="28" t="str"/>
      <x:c r="I11" s="56"/>
      <x:c r="J11" s="28" t="str">
        <x:v>待更新</x:v>
      </x:c>
      <x:c r="K11" s="28" t="str"/>
    </x:row>
  </x:sheetData>
  <x:conditionalFormatting sqref="J2:J11">
    <x:cfRule type="expression" dxfId="0" priority="1">
      <x:formula>J2="出现增量"</x:formula>
    </x:cfRule>
    <x:cfRule type="expression" dxfId="1" priority="2">
      <x:formula>J2="风险上升"</x:formula>
    </x:cfRule>
  </x:conditionalFormatting>
  <x:dataValidations count="1">
    <x:dataValidation type="list" sqref="J2:J11">
      <x:formula1>"待更新,已核验,出现增量,风险上升"</x:formula1>
    </x:dataValidation>
  </x:dataValidations>
  <x:pageMargins left="0.7" right="0.7" top="0.75" bottom="0.75" header="0.3" footer="0.3"/>
  <x:tableParts count="1">
    <x:tablePart xmlns:r="http://schemas.openxmlformats.org/officeDocument/2006/relationships" r:id="R5fab17f76bd545ed"/>
  </x:tableParts>
</x:worksheet>
</file>

<file path=xl/worksheets/sheet4.xml><?xml version="1.0" encoding="utf-8"?>
<x:worksheet xmlns:x="http://schemas.openxmlformats.org/spreadsheetml/2006/main">
  <x:sheetFormatPr defaultRowHeight="15"/>
  <x:cols>
    <x:col min="1" max="1" width="10" hidden="0" customWidth="1"/>
    <x:col min="2" max="2" width="38" hidden="0" customWidth="1"/>
    <x:col min="3" max="3" width="18" hidden="0" customWidth="1"/>
    <x:col min="4" max="4" width="16" hidden="0" customWidth="1"/>
    <x:col min="5" max="5" width="30" hidden="0" customWidth="1"/>
    <x:col min="6" max="6" width="34" hidden="0" customWidth="1"/>
  </x:cols>
  <x:sheetData>
    <x:row r="1" ht="30" customHeight="1">
      <x:c r="A1" s="5" t="str">
        <x:v>证据等级与使用说明</x:v>
      </x:c>
      <x:c r="B1" s="5"/>
      <x:c r="C1" s="5"/>
      <x:c r="D1" s="5"/>
      <x:c r="E1" s="5"/>
      <x:c r="F1" s="5"/>
    </x:row>
    <x:row r="3" ht="32" customHeight="1">
      <x:c r="A3" s="22" t="str">
        <x:v>等级</x:v>
      </x:c>
      <x:c r="B3" s="22" t="str">
        <x:v>判定标准</x:v>
      </x:c>
      <x:c r="C3" s="22" t="str">
        <x:v>可否确认真实订单</x:v>
      </x:c>
      <x:c r="D3" s="22" t="str">
        <x:v>可否确认金额</x:v>
      </x:c>
      <x:c r="E3" s="22" t="str">
        <x:v>投资分析用途</x:v>
      </x:c>
      <x:c r="F3" s="22" t="str">
        <x:v>主要限制</x:v>
      </x:c>
    </x:row>
    <x:row r="4" ht="58" customHeight="1">
      <x:c r="A4" s="28" t="str">
        <x:v>A1</x:v>
      </x:c>
      <x:c r="B4" s="28" t="str">
        <x:v>披露实名客户、具体订单金额和对应产品</x:v>
      </x:c>
      <x:c r="C4" s="28" t="str">
        <x:v>可以</x:v>
      </x:c>
      <x:c r="D4" s="28" t="str">
        <x:v>可以</x:v>
      </x:c>
      <x:c r="E4" s="28" t="str">
        <x:v>可直接进入订单—收入跟踪</x:v>
      </x:c>
      <x:c r="F4" s="28" t="str">
        <x:v>仍需跟踪验收、收入确认和回款</x:v>
      </x:c>
    </x:row>
    <x:row r="5" ht="58" customHeight="1">
      <x:c r="A5" s="28" t="str">
        <x:v>A2</x:v>
      </x:c>
      <x:c r="B5" s="28" t="str">
        <x:v>披露具体星座、任务、配套比例或总承包身份，但金额保密／未披露</x:v>
      </x:c>
      <x:c r="C5" s="28" t="str">
        <x:v>可以</x:v>
      </x:c>
      <x:c r="D5" s="28" t="str">
        <x:v>不可以</x:v>
      </x:c>
      <x:c r="E5" s="28" t="str">
        <x:v>可跟踪任务批次和配套份额</x:v>
      </x:c>
      <x:c r="F5" s="28" t="str">
        <x:v>无法精确计算上市公司业绩弹性</x:v>
      </x:c>
    </x:row>
    <x:row r="6" ht="58" customHeight="1">
      <x:c r="A6" s="28" t="str">
        <x:v>B1</x:v>
      </x:c>
      <x:c r="B6" s="28" t="str">
        <x:v>披露相关产品已批量交付或参与星座配套，但客户或金额未公开</x:v>
      </x:c>
      <x:c r="C6" s="28" t="str">
        <x:v>较高概率</x:v>
      </x:c>
      <x:c r="D6" s="28" t="str">
        <x:v>不可以</x:v>
      </x:c>
      <x:c r="E6" s="28" t="str">
        <x:v>适合结合收入、存货、合同负债交叉验证</x:v>
      </x:c>
      <x:c r="F6" s="28" t="str">
        <x:v>可能混入其他军工或航天项目</x:v>
      </x:c>
    </x:row>
    <x:row r="7" ht="58" customHeight="1">
      <x:c r="A7" s="28" t="str">
        <x:v>B2</x:v>
      </x:c>
      <x:c r="B7" s="28" t="str">
        <x:v>披露完成相关产品任务，未明确星座和合同金额</x:v>
      </x:c>
      <x:c r="C7" s="28" t="str">
        <x:v>有限</x:v>
      </x:c>
      <x:c r="D7" s="28" t="str">
        <x:v>不可以</x:v>
      </x:c>
      <x:c r="E7" s="28" t="str">
        <x:v>作为供应链候选观察</x:v>
      </x:c>
      <x:c r="F7" s="28" t="str">
        <x:v>概念映射强于财务映射</x:v>
      </x:c>
    </x:row>
    <x:row r="9">
      <x:c r="A9" s="22" t="str">
        <x:v>重要口径提示</x:v>
      </x:c>
      <x:c r="B9" s="22"/>
      <x:c r="C9" s="22"/>
      <x:c r="D9" s="22"/>
      <x:c r="E9" s="22"/>
      <x:c r="F9" s="22"/>
    </x:row>
    <x:row r="10" ht="28" customHeight="1">
      <x:c r="A10" s="50" t="str">
        <x:v>• 工业增加值、营业收入、合同订单、在手订单和现金回款是不同指标，不能直接相互替代。
• 院所或集团承担整星、整箭任务，不代表订单会全部进入旗下某一家上市公司。
• 卫星数量快速增长会推动部件出货，但商业航天强调降本，单星价格和毛利率可能下降。
• 优先观察：新增订单→存货／预付款→交付／验收→营业收入→毛利率→经营现金流的完整链条。
• 表内金额仅采用公开文件明确披露的合同或招标金额；依法豁免披露的订单不作估算。</x:v>
      </x:c>
      <x:c r="B10" s="50"/>
      <x:c r="C10" s="50"/>
      <x:c r="D10" s="50"/>
      <x:c r="E10" s="50"/>
      <x:c r="F10" s="50"/>
    </x:row>
    <x:row r="11" ht="28" customHeight="1">
      <x:c r="A11" s="50"/>
      <x:c r="B11" s="50"/>
      <x:c r="C11" s="50"/>
      <x:c r="D11" s="50"/>
      <x:c r="E11" s="50"/>
      <x:c r="F11" s="50"/>
    </x:row>
    <x:row r="12" ht="28" customHeight="1">
      <x:c r="A12" s="50"/>
      <x:c r="B12" s="50"/>
      <x:c r="C12" s="50"/>
      <x:c r="D12" s="50"/>
      <x:c r="E12" s="50"/>
      <x:c r="F12" s="50"/>
    </x:row>
    <x:row r="13" ht="28" customHeight="1">
      <x:c r="A13" s="50"/>
      <x:c r="B13" s="50"/>
      <x:c r="C13" s="50"/>
      <x:c r="D13" s="50"/>
      <x:c r="E13" s="50"/>
      <x:c r="F13" s="50"/>
    </x:row>
    <x:row r="14" ht="28" customHeight="1">
      <x:c r="A14" s="50"/>
      <x:c r="B14" s="50"/>
      <x:c r="C14" s="50"/>
      <x:c r="D14" s="50"/>
      <x:c r="E14" s="50"/>
      <x:c r="F14" s="50"/>
    </x:row>
  </x:sheetData>
  <x:mergeCells>
    <x:mergeCell ref="A1:F1"/>
    <x:mergeCell ref="A9:F9"/>
    <x:mergeCell ref="A10:F14"/>
  </x:mergeCells>
  <x:pageMargins left="0.7" right="0.7" top="0.75" bottom="0.75" header="0.3" footer="0.3"/>
  <x:tableParts count="1">
    <x:tablePart xmlns:r="http://schemas.openxmlformats.org/officeDocument/2006/relationships" r:id="Rc45505a2bb944db7"/>
  </x:tableParts>
</x:worksheet>
</file>